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780" tabRatio="880" firstSheet="2"/>
  </bookViews>
  <sheets>
    <sheet name="LU21-SET 上衣" sheetId="2" r:id="rId1"/>
    <sheet name="LU21-SET尺寸表" sheetId="1" r:id="rId2"/>
  </sheets>
  <externalReferences>
    <externalReference r:id="rId3"/>
  </externalReferences>
  <definedNames>
    <definedName name="_______?">#REF!</definedName>
    <definedName name="_______??????">#REF!</definedName>
    <definedName name="________?">#REF!</definedName>
    <definedName name="________??????">#REF!</definedName>
    <definedName name="_________?">#REF!</definedName>
    <definedName name="_________??????">#REF!</definedName>
    <definedName name="__________?">#REF!</definedName>
    <definedName name="__________??????">#REF!</definedName>
    <definedName name="___________?">#REF!</definedName>
    <definedName name="___________??????">#REF!</definedName>
    <definedName name="aa">[1]XL4Poppy!$C$39</definedName>
    <definedName name="尺寸表1" hidden="1">#REF!</definedName>
    <definedName name="__________________?">#REF!</definedName>
    <definedName name="____________??????">#REF!</definedName>
    <definedName name="____________?">#REF!</definedName>
    <definedName name="_____________??????">#REF!</definedName>
    <definedName name="_?">#REF!</definedName>
    <definedName name="_??????">#REF!</definedName>
    <definedName name="__?">#REF!</definedName>
    <definedName name="__??????">#REF!</definedName>
    <definedName name="___?">#REF!</definedName>
    <definedName name="___??????">#REF!</definedName>
    <definedName name="____?">#REF!</definedName>
    <definedName name="____??????">#REF!</definedName>
    <definedName name="_____?">#REF!</definedName>
    <definedName name="_____??????">#REF!</definedName>
    <definedName name="______?">#REF!</definedName>
    <definedName name="______??????">#REF!</definedName>
    <definedName name="___xlnm.Print_Area_1">#REF!</definedName>
    <definedName name="_1_?">#REF!</definedName>
    <definedName name="_2_??????">#REF!</definedName>
    <definedName name="_xlnm._FilterDatabase" hidden="1">#REF!</definedName>
    <definedName name="Print_Area_MI">#REF!</definedName>
    <definedName name="更好" hidden="1">#REF!</definedName>
    <definedName name="_____xlnm.Print_Area_2">#REF!</definedName>
    <definedName name="_____xlnm.Print_Area_4">#REF!</definedName>
    <definedName name="____xlnm.Print_Area_1">#REF!</definedName>
    <definedName name="____xlnm.Print_Area_2">#REF!</definedName>
    <definedName name="____xlnm.Print_Area_4">#REF!</definedName>
    <definedName name="___xlnm.Print_Area_2">#REF!</definedName>
    <definedName name="___xlnm.Print_Area_4">#REF!</definedName>
    <definedName name="__xlnm.Print_Area_1">#REF!</definedName>
    <definedName name="__xlnm.Print_Area_2">#REF!</definedName>
    <definedName name="__xlnm.Print_Area_4">#REF!</definedName>
    <definedName name="__xlnm.Print_Area_6">#REF!</definedName>
    <definedName name="单色单码箱唛画稿" hidden="1">#REF!</definedName>
    <definedName name="_____________?">#REF!</definedName>
    <definedName name="___________________??????">#REF!</definedName>
    <definedName name="_xlnm.Print_Area" localSheetId="0">'LU21-SET 上衣'!$A$1:$L$25</definedName>
    <definedName name="_xlnm.Print_Area" localSheetId="1">'LU21-SET尺寸表'!$A$1:$J$14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<sst xmlns="http://schemas.openxmlformats.org/spreadsheetml/2006/main" count="96" uniqueCount="87">
  <si>
    <t>绮陌服饰</t>
  </si>
  <si>
    <t>订单号</t>
  </si>
  <si>
    <t>1022832（年年旺）</t>
  </si>
  <si>
    <t>下单日期</t>
  </si>
  <si>
    <t>品名</t>
  </si>
  <si>
    <t>瑜伽上衣</t>
  </si>
  <si>
    <t>原料</t>
  </si>
  <si>
    <t>88%涤纶，12%氨纶</t>
  </si>
  <si>
    <t>交期</t>
  </si>
  <si>
    <t>面料克重</t>
  </si>
  <si>
    <t>280克仿锦</t>
  </si>
  <si>
    <t>数量</t>
  </si>
  <si>
    <t>款号</t>
  </si>
  <si>
    <t>主布颜色</t>
  </si>
  <si>
    <t>箱数</t>
  </si>
  <si>
    <t>S</t>
  </si>
  <si>
    <t>M</t>
  </si>
  <si>
    <t>L</t>
  </si>
  <si>
    <t>客户包装</t>
  </si>
  <si>
    <t>LU21-SET</t>
  </si>
  <si>
    <t>BLACK
黑色</t>
  </si>
  <si>
    <r>
      <t>一套一个小包袋，小袋子印唛头</t>
    </r>
    <r>
      <rPr>
        <b/>
        <sz val="18"/>
        <color rgb="FFFF0000"/>
        <rFont val="微软雅黑"/>
        <charset val="134"/>
      </rPr>
      <t xml:space="preserve"> NEW MIX CLASSIC</t>
    </r>
    <r>
      <rPr>
        <sz val="18"/>
        <color theme="1"/>
        <rFont val="微软雅黑"/>
        <charset val="134"/>
      </rPr>
      <t>,右上角贴款号和尺码，6套一中包（S:M:L=2:2:2），中包袋空白，30套一箱</t>
    </r>
  </si>
  <si>
    <t>GLOSS NAVY
海军蓝</t>
  </si>
  <si>
    <t>ROCK WOOD
岩木</t>
  </si>
  <si>
    <t>CLOUD DANCER 
云舞白</t>
  </si>
  <si>
    <t>总计</t>
  </si>
  <si>
    <t xml:space="preserve">280克直贡呢 1.1平方， 0.317公斤 </t>
  </si>
  <si>
    <t>交样时间</t>
  </si>
  <si>
    <t>要求</t>
  </si>
  <si>
    <r>
      <t>注意：大货数量不能少出，也不能多出。</t>
    </r>
    <r>
      <rPr>
        <b/>
        <u/>
        <sz val="18"/>
        <color rgb="FFFF0000"/>
        <rFont val="微软雅黑"/>
        <charset val="134"/>
      </rPr>
      <t>交货期不能晚，延期会扣款。大货尺寸千万不能做小。</t>
    </r>
  </si>
  <si>
    <t>产前样</t>
  </si>
  <si>
    <t>船样</t>
  </si>
  <si>
    <t>4.1</t>
  </si>
  <si>
    <t>（每色S码2件）  抽样裤数量不包含在大货数量里面 （大货完整包装）</t>
  </si>
  <si>
    <t>成衣辅料：</t>
  </si>
  <si>
    <t>无</t>
  </si>
  <si>
    <t>包装辅料：</t>
  </si>
  <si>
    <t>一张主吊牌，7cm白色枪针，印字OPP单包袋，空白OPP中包袋，纸箱</t>
  </si>
  <si>
    <t>裁剪要求：</t>
  </si>
  <si>
    <t>同件裤子要同一方向裁片，面料不要用反</t>
  </si>
  <si>
    <t>缝制要求：</t>
  </si>
  <si>
    <r>
      <t>线迹要平整，拉伸时不可断线 ，内外缝纫线与大身颜色一致，要配色 ，拷边3cm 14 针，平车3CM 12 针 ，车线要平整，车线不能车歪，包边要包实，</t>
    </r>
    <r>
      <rPr>
        <b/>
        <sz val="18"/>
        <color rgb="FFFF0000"/>
        <rFont val="微软雅黑"/>
        <charset val="134"/>
      </rPr>
      <t>裤子不能扭腿</t>
    </r>
    <r>
      <rPr>
        <b/>
        <sz val="18"/>
        <rFont val="微软雅黑"/>
        <charset val="134"/>
      </rPr>
      <t xml:space="preserve">
</t>
    </r>
    <r>
      <rPr>
        <b/>
        <sz val="18"/>
        <color rgb="FFFF0000"/>
        <rFont val="微软雅黑"/>
        <charset val="134"/>
      </rPr>
      <t>腰头白色包边条内有0.5cm磨砂透明皮条</t>
    </r>
  </si>
  <si>
    <t>检验要求：</t>
  </si>
  <si>
    <t xml:space="preserve">注意尺寸是否在公差范围，不能有破洞、脏污、断线，跳针和扭腿，线头修剪干净 </t>
  </si>
  <si>
    <t>包装要求：</t>
  </si>
  <si>
    <t>一张主吊牌用7cm白色枪针打在穿者左侧腰缝处，单件入OPP单包袋，吊牌款号朝外，按照S:M:L 2:2:2配比装中包袋</t>
  </si>
  <si>
    <t>装箱要求：</t>
  </si>
  <si>
    <t>一箱装10个配比中包</t>
  </si>
  <si>
    <t>注意事项：</t>
  </si>
  <si>
    <t>裤子一定不能扭腿，腰头包边一定要包实，包装时吊牌款号一定朝外</t>
  </si>
  <si>
    <t>包装明细及要求详见附页</t>
  </si>
  <si>
    <t>签收人：</t>
  </si>
  <si>
    <t>签收时间：</t>
  </si>
  <si>
    <r>
      <rPr>
        <b/>
        <sz val="20"/>
        <color rgb="FFFF0000"/>
        <rFont val="Calibri"/>
        <charset val="134"/>
      </rPr>
      <t>LU21-SET</t>
    </r>
    <r>
      <rPr>
        <b/>
        <sz val="20"/>
        <color rgb="FFFF0000"/>
        <rFont val="宋体"/>
        <charset val="134"/>
      </rPr>
      <t>尺寸表</t>
    </r>
  </si>
  <si>
    <r>
      <rPr>
        <b/>
        <sz val="16"/>
        <rFont val="宋体"/>
        <charset val="134"/>
      </rPr>
      <t>序号</t>
    </r>
  </si>
  <si>
    <r>
      <rPr>
        <b/>
        <sz val="16"/>
        <rFont val="宋体"/>
        <charset val="134"/>
      </rPr>
      <t>上衣部位</t>
    </r>
  </si>
  <si>
    <r>
      <rPr>
        <b/>
        <sz val="16"/>
        <rFont val="宋体"/>
        <charset val="134"/>
      </rPr>
      <t>标准尺寸（英寸）</t>
    </r>
  </si>
  <si>
    <r>
      <rPr>
        <b/>
        <sz val="16"/>
        <rFont val="宋体"/>
        <charset val="134"/>
      </rPr>
      <t>长裤部位</t>
    </r>
  </si>
  <si>
    <t>A</t>
  </si>
  <si>
    <r>
      <rPr>
        <b/>
        <sz val="16"/>
        <rFont val="宋体"/>
        <charset val="134"/>
      </rPr>
      <t>衣长</t>
    </r>
  </si>
  <si>
    <r>
      <rPr>
        <b/>
        <sz val="16"/>
        <rFont val="宋体"/>
        <charset val="134"/>
      </rPr>
      <t>腰围</t>
    </r>
  </si>
  <si>
    <t>B</t>
  </si>
  <si>
    <r>
      <rPr>
        <b/>
        <sz val="16"/>
        <rFont val="宋体"/>
        <charset val="134"/>
      </rPr>
      <t>胸围</t>
    </r>
    <r>
      <rPr>
        <b/>
        <sz val="16"/>
        <rFont val="Calibri"/>
        <charset val="134"/>
      </rPr>
      <t xml:space="preserve">
</t>
    </r>
    <r>
      <rPr>
        <b/>
        <sz val="12"/>
        <rFont val="Calibri"/>
        <charset val="134"/>
      </rPr>
      <t>-</t>
    </r>
    <r>
      <rPr>
        <b/>
        <sz val="12"/>
        <rFont val="宋体"/>
        <charset val="134"/>
      </rPr>
      <t>腋下</t>
    </r>
    <r>
      <rPr>
        <b/>
        <sz val="12"/>
        <rFont val="Calibri"/>
        <charset val="134"/>
      </rPr>
      <t>1inch</t>
    </r>
  </si>
  <si>
    <r>
      <rPr>
        <b/>
        <sz val="16"/>
        <rFont val="宋体"/>
        <charset val="134"/>
      </rPr>
      <t>腰高</t>
    </r>
  </si>
  <si>
    <t>C</t>
  </si>
  <si>
    <r>
      <rPr>
        <b/>
        <sz val="16"/>
        <rFont val="宋体"/>
        <charset val="134"/>
      </rPr>
      <t>下摆宽</t>
    </r>
  </si>
  <si>
    <r>
      <rPr>
        <b/>
        <sz val="16"/>
        <rFont val="宋体"/>
        <charset val="134"/>
      </rPr>
      <t>臀围</t>
    </r>
  </si>
  <si>
    <t>D</t>
  </si>
  <si>
    <r>
      <rPr>
        <b/>
        <sz val="16"/>
        <rFont val="宋体"/>
        <charset val="134"/>
      </rPr>
      <t>肩宽</t>
    </r>
  </si>
  <si>
    <t>前浪</t>
  </si>
  <si>
    <t>E</t>
  </si>
  <si>
    <r>
      <rPr>
        <b/>
        <sz val="16"/>
        <rFont val="宋体"/>
        <charset val="134"/>
      </rPr>
      <t>袖长</t>
    </r>
  </si>
  <si>
    <t>后浪</t>
  </si>
  <si>
    <t>F</t>
  </si>
  <si>
    <r>
      <rPr>
        <b/>
        <sz val="16"/>
        <rFont val="宋体"/>
        <charset val="134"/>
      </rPr>
      <t>袖肥</t>
    </r>
  </si>
  <si>
    <r>
      <rPr>
        <b/>
        <sz val="16"/>
        <rFont val="宋体"/>
        <charset val="134"/>
      </rPr>
      <t>内长</t>
    </r>
  </si>
  <si>
    <t>G</t>
  </si>
  <si>
    <r>
      <rPr>
        <b/>
        <sz val="16"/>
        <rFont val="宋体"/>
        <charset val="134"/>
      </rPr>
      <t>袖口</t>
    </r>
  </si>
  <si>
    <r>
      <rPr>
        <b/>
        <sz val="16"/>
        <rFont val="宋体"/>
        <charset val="134"/>
      </rPr>
      <t>脚口</t>
    </r>
  </si>
  <si>
    <t>H</t>
  </si>
  <si>
    <r>
      <rPr>
        <b/>
        <sz val="16"/>
        <rFont val="宋体"/>
        <charset val="134"/>
      </rPr>
      <t>领宽</t>
    </r>
  </si>
  <si>
    <r>
      <rPr>
        <b/>
        <sz val="16"/>
        <rFont val="宋体"/>
        <charset val="134"/>
      </rPr>
      <t>大腿围</t>
    </r>
  </si>
  <si>
    <t>I</t>
  </si>
  <si>
    <r>
      <rPr>
        <b/>
        <sz val="16"/>
        <rFont val="宋体"/>
        <charset val="134"/>
      </rPr>
      <t>领深</t>
    </r>
  </si>
  <si>
    <t>三角档宽</t>
  </si>
  <si>
    <t>腰围</t>
  </si>
  <si>
    <t>三角档长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</si>
</sst>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</numFmts>
  <fonts count="45">
    <font>
      <sz val="11"/>
      <color theme="1"/>
      <name val="宋体"/>
      <charset val="134"/>
      <scheme val="minor"/>
    </font>
    <font>
      <sz val="9"/>
      <name val="Calibri"/>
      <charset val="134"/>
    </font>
    <font>
      <sz val="11"/>
      <color theme="1"/>
      <name val="Calibri"/>
      <charset val="134"/>
    </font>
    <font>
      <b/>
      <sz val="20"/>
      <color rgb="FFFF0000"/>
      <name val="Calibri"/>
      <charset val="134"/>
    </font>
    <font>
      <b/>
      <sz val="16"/>
      <name val="Calibri"/>
      <charset val="134"/>
    </font>
    <font>
      <b/>
      <sz val="16"/>
      <name val="宋体"/>
      <charset val="134"/>
    </font>
    <font>
      <b/>
      <sz val="16"/>
      <color rgb="FFFF0000"/>
      <name val="Calibri"/>
      <charset val="134"/>
    </font>
    <font>
      <sz val="18"/>
      <name val="Calibri"/>
      <charset val="134"/>
    </font>
    <font>
      <b/>
      <sz val="36"/>
      <name val="宋体"/>
      <charset val="134"/>
    </font>
    <font>
      <b/>
      <sz val="36"/>
      <name val="Calibri"/>
      <charset val="134"/>
    </font>
    <font>
      <b/>
      <sz val="18"/>
      <color indexed="12"/>
      <name val="微软雅黑"/>
      <charset val="134"/>
    </font>
    <font>
      <b/>
      <sz val="18"/>
      <name val="微软雅黑"/>
      <charset val="134"/>
    </font>
    <font>
      <b/>
      <sz val="18"/>
      <color theme="1"/>
      <name val="微软雅黑"/>
      <charset val="134"/>
    </font>
    <font>
      <b/>
      <sz val="18"/>
      <name val="微软雅黑"/>
      <charset val="0"/>
    </font>
    <font>
      <sz val="18"/>
      <color theme="1"/>
      <name val="微软雅黑"/>
      <charset val="134"/>
    </font>
    <font>
      <sz val="14"/>
      <color rgb="FF000000"/>
      <name val="微软雅黑"/>
      <charset val="134"/>
    </font>
    <font>
      <sz val="18"/>
      <color rgb="FF000000"/>
      <name val="微软雅黑"/>
      <charset val="134"/>
    </font>
    <font>
      <sz val="18"/>
      <color rgb="FFFF0000"/>
      <name val="微软雅黑"/>
      <charset val="134"/>
    </font>
    <font>
      <sz val="18"/>
      <name val="微软雅黑"/>
      <charset val="134"/>
    </font>
    <font>
      <b/>
      <sz val="18"/>
      <color rgb="FF0000FF"/>
      <name val="微软雅黑"/>
      <charset val="134"/>
    </font>
    <font>
      <b/>
      <sz val="18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20"/>
      <color rgb="FFFF0000"/>
      <name val="宋体"/>
      <charset val="134"/>
    </font>
    <font>
      <b/>
      <u/>
      <sz val="18"/>
      <color rgb="FFFF0000"/>
      <name val="微软雅黑"/>
      <charset val="134"/>
    </font>
    <font>
      <b/>
      <sz val="12"/>
      <name val="Calibri"/>
      <charset val="134"/>
    </font>
    <font>
      <b/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17" applyNumberFormat="0" applyAlignment="0" applyProtection="0">
      <alignment vertical="center"/>
    </xf>
    <xf numFmtId="0" fontId="30" fillId="6" borderId="18" applyNumberFormat="0" applyAlignment="0" applyProtection="0">
      <alignment vertical="center"/>
    </xf>
    <xf numFmtId="0" fontId="31" fillId="6" borderId="17" applyNumberFormat="0" applyAlignment="0" applyProtection="0">
      <alignment vertical="center"/>
    </xf>
    <xf numFmtId="0" fontId="32" fillId="7" borderId="19" applyNumberFormat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40" fillId="0" borderId="0"/>
  </cellStyleXfs>
  <cellXfs count="9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176" fontId="6" fillId="0" borderId="1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0" fillId="0" borderId="0" xfId="0" applyFill="1" applyAlignment="1"/>
    <xf numFmtId="0" fontId="8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14" fontId="11" fillId="0" borderId="2" xfId="0" applyNumberFormat="1" applyFont="1" applyFill="1" applyBorder="1" applyAlignment="1">
      <alignment horizontal="center" vertical="center" wrapText="1"/>
    </xf>
    <xf numFmtId="14" fontId="11" fillId="0" borderId="3" xfId="0" applyNumberFormat="1" applyFont="1" applyFill="1" applyBorder="1" applyAlignment="1">
      <alignment horizontal="center" vertical="center" wrapText="1"/>
    </xf>
    <xf numFmtId="14" fontId="11" fillId="0" borderId="4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/>
    </xf>
    <xf numFmtId="0" fontId="10" fillId="0" borderId="4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 wrapText="1"/>
    </xf>
    <xf numFmtId="0" fontId="15" fillId="0" borderId="10" xfId="0" applyNumberFormat="1" applyFont="1" applyFill="1" applyBorder="1" applyAlignment="1">
      <alignment horizontal="center" vertical="center" wrapText="1" shrinkToFit="1"/>
    </xf>
    <xf numFmtId="0" fontId="16" fillId="0" borderId="1" xfId="0" applyNumberFormat="1" applyFont="1" applyFill="1" applyBorder="1" applyAlignment="1">
      <alignment horizontal="center" vertical="center" wrapText="1" shrinkToFit="1"/>
    </xf>
    <xf numFmtId="0" fontId="17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/>
    </xf>
    <xf numFmtId="0" fontId="18" fillId="0" borderId="7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0" fillId="0" borderId="4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49" fontId="19" fillId="0" borderId="2" xfId="0" applyNumberFormat="1" applyFont="1" applyFill="1" applyBorder="1" applyAlignment="1">
      <alignment horizontal="center" vertical="center"/>
    </xf>
    <xf numFmtId="49" fontId="19" fillId="0" borderId="3" xfId="0" applyNumberFormat="1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 wrapText="1"/>
    </xf>
    <xf numFmtId="0" fontId="19" fillId="0" borderId="9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/>
    </xf>
    <xf numFmtId="49" fontId="10" fillId="0" borderId="8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9" fillId="0" borderId="8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shrinkToFi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1" xfId="49" applyFont="1" applyBorder="1" applyAlignment="1">
      <alignment horizontal="center" vertical="center"/>
    </xf>
    <xf numFmtId="0" fontId="18" fillId="0" borderId="1" xfId="49" applyNumberFormat="1" applyFont="1" applyBorder="1" applyAlignment="1">
      <alignment horizontal="left" vertical="center" wrapText="1"/>
    </xf>
    <xf numFmtId="0" fontId="18" fillId="0" borderId="1" xfId="49" applyNumberFormat="1" applyFont="1" applyFill="1" applyBorder="1" applyAlignment="1">
      <alignment horizontal="left" vertical="center" wrapText="1"/>
    </xf>
    <xf numFmtId="0" fontId="18" fillId="0" borderId="1" xfId="49" applyFont="1" applyBorder="1" applyAlignment="1">
      <alignment horizontal="left" vertical="center"/>
    </xf>
    <xf numFmtId="0" fontId="18" fillId="0" borderId="1" xfId="49" applyFont="1" applyFill="1" applyBorder="1" applyAlignment="1">
      <alignment horizontal="left" vertical="center"/>
    </xf>
    <xf numFmtId="0" fontId="18" fillId="0" borderId="1" xfId="49" applyFont="1" applyBorder="1" applyAlignment="1">
      <alignment horizontal="left" vertical="center" wrapText="1"/>
    </xf>
    <xf numFmtId="0" fontId="18" fillId="0" borderId="1" xfId="49" applyFont="1" applyFill="1" applyBorder="1" applyAlignment="1">
      <alignment horizontal="left" vertical="center" wrapText="1"/>
    </xf>
    <xf numFmtId="0" fontId="20" fillId="0" borderId="1" xfId="49" applyFont="1" applyBorder="1" applyAlignment="1">
      <alignment horizontal="left" vertical="center"/>
    </xf>
    <xf numFmtId="0" fontId="20" fillId="0" borderId="1" xfId="49" applyFont="1" applyFill="1" applyBorder="1" applyAlignment="1">
      <alignment horizontal="left" vertical="center"/>
    </xf>
    <xf numFmtId="0" fontId="11" fillId="0" borderId="1" xfId="0" applyNumberFormat="1" applyFont="1" applyFill="1" applyBorder="1" applyAlignment="1">
      <alignment vertical="center"/>
    </xf>
    <xf numFmtId="0" fontId="18" fillId="0" borderId="2" xfId="0" applyNumberFormat="1" applyFont="1" applyFill="1" applyBorder="1" applyAlignment="1">
      <alignment horizontal="center" vertical="center"/>
    </xf>
    <xf numFmtId="0" fontId="18" fillId="0" borderId="3" xfId="0" applyNumberFormat="1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left" vertical="center"/>
    </xf>
    <xf numFmtId="0" fontId="11" fillId="0" borderId="3" xfId="0" applyNumberFormat="1" applyFont="1" applyFill="1" applyBorder="1" applyAlignment="1">
      <alignment horizontal="left" vertical="center"/>
    </xf>
    <xf numFmtId="0" fontId="11" fillId="0" borderId="4" xfId="0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85725</xdr:colOff>
      <xdr:row>5</xdr:row>
      <xdr:rowOff>64135</xdr:rowOff>
    </xdr:from>
    <xdr:to>
      <xdr:col>11</xdr:col>
      <xdr:colOff>1190625</xdr:colOff>
      <xdr:row>9</xdr:row>
      <xdr:rowOff>277495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80315" y="4039235"/>
          <a:ext cx="1104900" cy="2829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A09\&#30005;&#35805;&#26126;&#32454;&#34920;\&#33487;&#24030;&#65288;&#26080;&#27719;&#24635;,&#21556;&#27743;&#32447;&#36335;&#20462;&#25913;&#65289;\&#24066;&#26412;&#37096;\&#27743;&#33487;&#33487;&#24030;&#26412;&#37096;&#65288;&#20013;&#22830;&#6528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XL4Popp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zoomScale="70" zoomScaleNormal="70" topLeftCell="A16" workbookViewId="0">
      <selection activeCell="A12" sqref="A12:L12"/>
    </sheetView>
  </sheetViews>
  <sheetFormatPr defaultColWidth="9" defaultRowHeight="23.25"/>
  <cols>
    <col min="1" max="1" width="15.525" style="13" customWidth="1"/>
    <col min="2" max="2" width="23.2166666666667" style="13" customWidth="1"/>
    <col min="3" max="3" width="17.5" style="13" customWidth="1"/>
    <col min="4" max="4" width="12.675" style="13" customWidth="1"/>
    <col min="5" max="7" width="9.99166666666667" style="13" customWidth="1"/>
    <col min="8" max="8" width="25.15" style="13" customWidth="1"/>
    <col min="9" max="9" width="15.5333333333333" style="13" customWidth="1"/>
    <col min="10" max="10" width="16.7083333333333" style="13" customWidth="1"/>
    <col min="11" max="11" width="9" style="13" customWidth="1"/>
    <col min="12" max="12" width="31.25" style="13" customWidth="1"/>
    <col min="13" max="16384" width="9" style="13"/>
  </cols>
  <sheetData>
    <row r="1" s="13" customFormat="1" ht="61" customHeight="1" spans="1:1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="13" customFormat="1" ht="63" customHeight="1" spans="1:12">
      <c r="A2" s="18" t="s">
        <v>1</v>
      </c>
      <c r="B2" s="19"/>
      <c r="C2" s="19"/>
      <c r="D2" s="20" t="s">
        <v>2</v>
      </c>
      <c r="E2" s="21"/>
      <c r="F2" s="21"/>
      <c r="G2" s="21"/>
      <c r="H2" s="22"/>
      <c r="I2" s="23" t="s">
        <v>3</v>
      </c>
      <c r="J2" s="24">
        <v>46093</v>
      </c>
      <c r="K2" s="24"/>
      <c r="L2" s="24"/>
    </row>
    <row r="3" s="13" customFormat="1" ht="63" customHeight="1" spans="1:12">
      <c r="A3" s="18" t="s">
        <v>4</v>
      </c>
      <c r="B3" s="19"/>
      <c r="C3" s="19"/>
      <c r="D3" s="20" t="s">
        <v>5</v>
      </c>
      <c r="E3" s="21"/>
      <c r="F3" s="21"/>
      <c r="G3" s="21"/>
      <c r="H3" s="22"/>
      <c r="I3" s="25" t="s">
        <v>6</v>
      </c>
      <c r="J3" s="26" t="s">
        <v>7</v>
      </c>
      <c r="K3" s="26"/>
      <c r="L3" s="26"/>
    </row>
    <row r="4" s="13" customFormat="1" ht="63" customHeight="1" spans="1:12">
      <c r="A4" s="18" t="s">
        <v>8</v>
      </c>
      <c r="B4" s="19"/>
      <c r="C4" s="19"/>
      <c r="D4" s="27">
        <v>46128</v>
      </c>
      <c r="E4" s="28"/>
      <c r="F4" s="28"/>
      <c r="G4" s="28"/>
      <c r="H4" s="29"/>
      <c r="I4" s="23" t="s">
        <v>9</v>
      </c>
      <c r="J4" s="26" t="s">
        <v>10</v>
      </c>
      <c r="K4" s="26"/>
      <c r="L4" s="26"/>
    </row>
    <row r="5" s="13" customFormat="1" ht="63" customHeight="1" spans="1:12">
      <c r="A5" s="30" t="s">
        <v>11</v>
      </c>
      <c r="B5" s="31"/>
      <c r="C5" s="32"/>
      <c r="D5" s="25">
        <f>D11</f>
        <v>2400</v>
      </c>
      <c r="E5" s="25"/>
      <c r="F5" s="25"/>
      <c r="G5" s="25"/>
      <c r="H5" s="25"/>
      <c r="I5" s="33"/>
      <c r="J5" s="26"/>
      <c r="K5" s="26"/>
      <c r="L5" s="26"/>
    </row>
    <row r="6" s="13" customFormat="1" ht="63" customHeight="1" spans="1:12">
      <c r="A6" s="34" t="s">
        <v>12</v>
      </c>
      <c r="B6" s="35" t="s">
        <v>13</v>
      </c>
      <c r="C6" s="36" t="s">
        <v>14</v>
      </c>
      <c r="D6" s="37" t="s">
        <v>11</v>
      </c>
      <c r="E6" s="38" t="s">
        <v>15</v>
      </c>
      <c r="F6" s="38" t="s">
        <v>16</v>
      </c>
      <c r="G6" s="38" t="s">
        <v>17</v>
      </c>
      <c r="H6" s="39" t="s">
        <v>18</v>
      </c>
      <c r="I6" s="40"/>
      <c r="J6" s="40"/>
      <c r="K6" s="41"/>
      <c r="L6" s="42"/>
    </row>
    <row r="7" s="13" customFormat="1" ht="46" customHeight="1" spans="1:12">
      <c r="A7" s="43" t="s">
        <v>19</v>
      </c>
      <c r="B7" s="44" t="s">
        <v>20</v>
      </c>
      <c r="C7" s="45">
        <f>D7/30</f>
        <v>32</v>
      </c>
      <c r="D7" s="46">
        <f>E7+F7+G7</f>
        <v>960</v>
      </c>
      <c r="E7" s="47">
        <v>320</v>
      </c>
      <c r="F7" s="47">
        <v>320</v>
      </c>
      <c r="G7" s="47">
        <v>320</v>
      </c>
      <c r="H7" s="48" t="s">
        <v>21</v>
      </c>
      <c r="I7" s="48"/>
      <c r="J7" s="48"/>
      <c r="K7" s="49"/>
      <c r="L7" s="50"/>
    </row>
    <row r="8" s="13" customFormat="1" ht="46" customHeight="1" spans="1:12">
      <c r="A8" s="51"/>
      <c r="B8" s="44" t="s">
        <v>22</v>
      </c>
      <c r="C8" s="45">
        <f>D8/30</f>
        <v>16</v>
      </c>
      <c r="D8" s="46">
        <f>E8+F8+G8</f>
        <v>480</v>
      </c>
      <c r="E8" s="47">
        <v>160</v>
      </c>
      <c r="F8" s="47">
        <v>160</v>
      </c>
      <c r="G8" s="47">
        <v>160</v>
      </c>
      <c r="H8" s="48"/>
      <c r="I8" s="48"/>
      <c r="J8" s="48"/>
      <c r="K8" s="49"/>
      <c r="L8" s="50"/>
    </row>
    <row r="9" s="13" customFormat="1" ht="51" customHeight="1" spans="1:12">
      <c r="A9" s="51"/>
      <c r="B9" s="44" t="s">
        <v>23</v>
      </c>
      <c r="C9" s="45">
        <f>D9/30</f>
        <v>16</v>
      </c>
      <c r="D9" s="46">
        <f>E9+F9+G9</f>
        <v>480</v>
      </c>
      <c r="E9" s="47">
        <v>160</v>
      </c>
      <c r="F9" s="47">
        <v>160</v>
      </c>
      <c r="G9" s="47">
        <v>160</v>
      </c>
      <c r="H9" s="48"/>
      <c r="I9" s="48"/>
      <c r="J9" s="48"/>
      <c r="K9" s="49"/>
      <c r="L9" s="50"/>
    </row>
    <row r="10" s="13" customFormat="1" ht="47" customHeight="1" spans="1:12">
      <c r="A10" s="51"/>
      <c r="B10" s="44" t="s">
        <v>24</v>
      </c>
      <c r="C10" s="45">
        <f>D10/30</f>
        <v>16</v>
      </c>
      <c r="D10" s="46">
        <f>E10+F10+G10</f>
        <v>480</v>
      </c>
      <c r="E10" s="47">
        <v>160</v>
      </c>
      <c r="F10" s="47">
        <v>160</v>
      </c>
      <c r="G10" s="47">
        <v>160</v>
      </c>
      <c r="H10" s="48"/>
      <c r="I10" s="48"/>
      <c r="J10" s="48"/>
      <c r="K10" s="49"/>
      <c r="L10" s="50"/>
    </row>
    <row r="11" s="13" customFormat="1" ht="51" customHeight="1" spans="1:12">
      <c r="A11" s="52" t="s">
        <v>25</v>
      </c>
      <c r="B11" s="53"/>
      <c r="C11" s="53">
        <f>SUM(C7:C10)</f>
        <v>80</v>
      </c>
      <c r="D11" s="46">
        <f>SUM(D7:D10)</f>
        <v>2400</v>
      </c>
      <c r="E11" s="47"/>
      <c r="F11" s="47"/>
      <c r="G11" s="47"/>
      <c r="H11" s="54"/>
      <c r="I11" s="55"/>
      <c r="J11" s="56"/>
      <c r="K11" s="57"/>
      <c r="L11" s="57"/>
    </row>
    <row r="12" s="13" customFormat="1" ht="73" customHeight="1" spans="1:12">
      <c r="A12" s="58" t="s">
        <v>26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</row>
    <row r="13" s="13" customFormat="1" ht="48" customHeight="1" spans="1:12">
      <c r="A13" s="59"/>
      <c r="B13" s="18" t="s">
        <v>27</v>
      </c>
      <c r="C13" s="19"/>
      <c r="D13" s="18" t="s">
        <v>28</v>
      </c>
      <c r="E13" s="19"/>
      <c r="F13" s="19"/>
      <c r="G13" s="19"/>
      <c r="H13" s="19"/>
      <c r="I13" s="19"/>
      <c r="J13" s="19"/>
      <c r="K13" s="60"/>
      <c r="L13" s="61" t="s">
        <v>29</v>
      </c>
    </row>
    <row r="14" s="13" customFormat="1" ht="51" customHeight="1" spans="1:12">
      <c r="A14" s="62" t="s">
        <v>30</v>
      </c>
      <c r="B14" s="63"/>
      <c r="C14" s="64"/>
      <c r="D14" s="65"/>
      <c r="E14" s="66"/>
      <c r="F14" s="66"/>
      <c r="G14" s="66"/>
      <c r="H14" s="67"/>
      <c r="I14" s="67"/>
      <c r="J14" s="67"/>
      <c r="K14" s="68"/>
      <c r="L14" s="69"/>
    </row>
    <row r="15" s="13" customFormat="1" ht="51" customHeight="1" spans="1:12">
      <c r="A15" s="70" t="s">
        <v>31</v>
      </c>
      <c r="B15" s="71" t="s">
        <v>32</v>
      </c>
      <c r="C15" s="72"/>
      <c r="D15" s="73" t="s">
        <v>33</v>
      </c>
      <c r="E15" s="67"/>
      <c r="F15" s="67"/>
      <c r="G15" s="67"/>
      <c r="H15" s="67"/>
      <c r="I15" s="67"/>
      <c r="J15" s="67"/>
      <c r="K15" s="68"/>
      <c r="L15" s="74"/>
    </row>
    <row r="16" s="14" customFormat="1" ht="66" customHeight="1" spans="1:12">
      <c r="A16" s="75" t="s">
        <v>34</v>
      </c>
      <c r="B16" s="76" t="s">
        <v>35</v>
      </c>
      <c r="C16" s="76"/>
      <c r="D16" s="76"/>
      <c r="E16" s="76"/>
      <c r="F16" s="76"/>
      <c r="G16" s="76"/>
      <c r="H16" s="76"/>
      <c r="I16" s="76"/>
      <c r="J16" s="76"/>
      <c r="K16" s="76"/>
      <c r="L16" s="76"/>
    </row>
    <row r="17" s="14" customFormat="1" ht="80" customHeight="1" spans="1:12">
      <c r="A17" s="75" t="s">
        <v>36</v>
      </c>
      <c r="B17" s="76" t="s">
        <v>37</v>
      </c>
      <c r="C17" s="76"/>
      <c r="D17" s="76"/>
      <c r="E17" s="76"/>
      <c r="F17" s="76"/>
      <c r="G17" s="76"/>
      <c r="H17" s="76"/>
      <c r="I17" s="76"/>
      <c r="J17" s="76"/>
      <c r="K17" s="76"/>
      <c r="L17" s="76"/>
    </row>
    <row r="18" s="14" customFormat="1" ht="72" customHeight="1" spans="1:12">
      <c r="A18" s="75" t="s">
        <v>38</v>
      </c>
      <c r="B18" s="76" t="s">
        <v>39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</row>
    <row r="19" s="14" customFormat="1" ht="88" customHeight="1" spans="1:12">
      <c r="A19" s="77" t="s">
        <v>40</v>
      </c>
      <c r="B19" s="78" t="s">
        <v>41</v>
      </c>
      <c r="C19" s="78"/>
      <c r="D19" s="78"/>
      <c r="E19" s="78"/>
      <c r="F19" s="78"/>
      <c r="G19" s="78"/>
      <c r="H19" s="78"/>
      <c r="I19" s="78"/>
      <c r="J19" s="78"/>
      <c r="K19" s="79"/>
      <c r="L19" s="79"/>
    </row>
    <row r="20" s="14" customFormat="1" ht="71" customHeight="1" spans="1:12">
      <c r="A20" s="77" t="s">
        <v>42</v>
      </c>
      <c r="B20" s="80" t="s">
        <v>43</v>
      </c>
      <c r="C20" s="80"/>
      <c r="D20" s="80"/>
      <c r="E20" s="80"/>
      <c r="F20" s="80"/>
      <c r="G20" s="80"/>
      <c r="H20" s="80"/>
      <c r="I20" s="80"/>
      <c r="J20" s="80"/>
      <c r="K20" s="81"/>
      <c r="L20" s="81"/>
    </row>
    <row r="21" s="14" customFormat="1" ht="66" customHeight="1" spans="1:12">
      <c r="A21" s="77" t="s">
        <v>44</v>
      </c>
      <c r="B21" s="82" t="s">
        <v>45</v>
      </c>
      <c r="C21" s="82"/>
      <c r="D21" s="82"/>
      <c r="E21" s="82"/>
      <c r="F21" s="82"/>
      <c r="G21" s="82"/>
      <c r="H21" s="82"/>
      <c r="I21" s="82"/>
      <c r="J21" s="82"/>
      <c r="K21" s="83"/>
      <c r="L21" s="83"/>
    </row>
    <row r="22" s="14" customFormat="1" ht="66" customHeight="1" spans="1:12">
      <c r="A22" s="77" t="s">
        <v>46</v>
      </c>
      <c r="B22" s="82" t="s">
        <v>47</v>
      </c>
      <c r="C22" s="82"/>
      <c r="D22" s="82"/>
      <c r="E22" s="82"/>
      <c r="F22" s="82"/>
      <c r="G22" s="82"/>
      <c r="H22" s="82"/>
      <c r="I22" s="82"/>
      <c r="J22" s="82"/>
      <c r="K22" s="83"/>
      <c r="L22" s="83"/>
    </row>
    <row r="23" s="14" customFormat="1" ht="73" customHeight="1" spans="1:12">
      <c r="A23" s="77" t="s">
        <v>48</v>
      </c>
      <c r="B23" s="84" t="s">
        <v>49</v>
      </c>
      <c r="C23" s="84"/>
      <c r="D23" s="84"/>
      <c r="E23" s="84"/>
      <c r="F23" s="84"/>
      <c r="G23" s="84"/>
      <c r="H23" s="84"/>
      <c r="I23" s="84"/>
      <c r="J23" s="84"/>
      <c r="K23" s="85"/>
      <c r="L23" s="85"/>
    </row>
    <row r="24" s="13" customFormat="1" ht="64" customHeight="1" spans="1:12">
      <c r="A24" s="25" t="s">
        <v>50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 s="13" customFormat="1" ht="64" customHeight="1" spans="1:12">
      <c r="A25" s="86" t="s">
        <v>51</v>
      </c>
      <c r="B25" s="87"/>
      <c r="C25" s="88"/>
      <c r="D25" s="88"/>
      <c r="E25" s="88"/>
      <c r="F25" s="88"/>
      <c r="G25" s="88"/>
      <c r="H25" s="88"/>
      <c r="I25" s="89" t="s">
        <v>52</v>
      </c>
      <c r="J25" s="90"/>
      <c r="K25" s="90"/>
      <c r="L25" s="91"/>
    </row>
  </sheetData>
  <mergeCells count="36">
    <mergeCell ref="A1:L1"/>
    <mergeCell ref="A2:C2"/>
    <mergeCell ref="D2:H2"/>
    <mergeCell ref="J2:L2"/>
    <mergeCell ref="A3:C3"/>
    <mergeCell ref="D3:H3"/>
    <mergeCell ref="J3:L3"/>
    <mergeCell ref="A4:C4"/>
    <mergeCell ref="D4:H4"/>
    <mergeCell ref="A5:C5"/>
    <mergeCell ref="D5:H5"/>
    <mergeCell ref="H6:J6"/>
    <mergeCell ref="A11:B11"/>
    <mergeCell ref="A12:L12"/>
    <mergeCell ref="B13:C13"/>
    <mergeCell ref="D13:K13"/>
    <mergeCell ref="B14:C14"/>
    <mergeCell ref="D14:K14"/>
    <mergeCell ref="B15:C15"/>
    <mergeCell ref="D15:K15"/>
    <mergeCell ref="B16:L16"/>
    <mergeCell ref="B17:L17"/>
    <mergeCell ref="B18:L18"/>
    <mergeCell ref="B19:L19"/>
    <mergeCell ref="B20:L20"/>
    <mergeCell ref="B21:L21"/>
    <mergeCell ref="B22:L22"/>
    <mergeCell ref="B23:L23"/>
    <mergeCell ref="A24:L24"/>
    <mergeCell ref="B25:H25"/>
    <mergeCell ref="A7:A10"/>
    <mergeCell ref="I4:I5"/>
    <mergeCell ref="L13:L15"/>
    <mergeCell ref="J4:L5"/>
    <mergeCell ref="K6:L10"/>
    <mergeCell ref="H7:J10"/>
  </mergeCells>
  <printOptions horizontalCentered="1"/>
  <pageMargins left="0.156944444444444" right="0.0784722222222222" top="0.314583333333333" bottom="0.118055555555556" header="0.275" footer="0.0388888888888889"/>
  <pageSetup paperSize="9" scale="50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H17" sqref="H17:H18"/>
    </sheetView>
  </sheetViews>
  <sheetFormatPr defaultColWidth="9" defaultRowHeight="15"/>
  <cols>
    <col min="1" max="1" width="8" style="2" customWidth="1"/>
    <col min="2" max="2" width="15.875" style="2" customWidth="1"/>
    <col min="3" max="5" width="11.5" style="2" customWidth="1"/>
    <col min="6" max="6" width="7.375" style="2" customWidth="1"/>
    <col min="7" max="7" width="15.875" style="2" customWidth="1"/>
    <col min="8" max="10" width="11.5" style="2" customWidth="1"/>
    <col min="11" max="16384" width="9" style="2"/>
  </cols>
  <sheetData>
    <row r="1" ht="43" customHeight="1" spans="1:10">
      <c r="A1" s="3" t="s">
        <v>53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ht="35" customHeight="1" spans="1:10">
      <c r="A2" s="4" t="s">
        <v>54</v>
      </c>
      <c r="B2" s="5" t="s">
        <v>55</v>
      </c>
      <c r="C2" s="6" t="s">
        <v>56</v>
      </c>
      <c r="D2" s="6"/>
      <c r="E2" s="6"/>
      <c r="F2" s="7"/>
      <c r="G2" s="6" t="s">
        <v>57</v>
      </c>
      <c r="H2" s="6" t="s">
        <v>56</v>
      </c>
      <c r="I2" s="6"/>
      <c r="J2" s="6"/>
    </row>
    <row r="3" s="1" customFormat="1" ht="22" customHeight="1" spans="1:10">
      <c r="A3" s="4"/>
      <c r="B3" s="5"/>
      <c r="C3" s="5" t="s">
        <v>15</v>
      </c>
      <c r="D3" s="5" t="s">
        <v>16</v>
      </c>
      <c r="E3" s="5" t="s">
        <v>17</v>
      </c>
      <c r="F3" s="7"/>
      <c r="G3" s="6"/>
      <c r="H3" s="5" t="s">
        <v>15</v>
      </c>
      <c r="I3" s="5" t="s">
        <v>16</v>
      </c>
      <c r="J3" s="5" t="s">
        <v>17</v>
      </c>
    </row>
    <row r="4" s="1" customFormat="1" ht="31" customHeight="1" spans="1:10">
      <c r="A4" s="4" t="s">
        <v>58</v>
      </c>
      <c r="B4" s="5" t="s">
        <v>59</v>
      </c>
      <c r="C4" s="8">
        <v>20.875</v>
      </c>
      <c r="D4" s="8">
        <v>21.5</v>
      </c>
      <c r="E4" s="8">
        <v>22.125</v>
      </c>
      <c r="F4" s="7"/>
      <c r="G4" s="6" t="s">
        <v>60</v>
      </c>
      <c r="H4" s="8">
        <v>12</v>
      </c>
      <c r="I4" s="8">
        <v>13</v>
      </c>
      <c r="J4" s="8">
        <v>14</v>
      </c>
    </row>
    <row r="5" s="1" customFormat="1" ht="42" customHeight="1" spans="1:10">
      <c r="A5" s="4" t="s">
        <v>61</v>
      </c>
      <c r="B5" s="6" t="s">
        <v>62</v>
      </c>
      <c r="C5" s="8">
        <v>16</v>
      </c>
      <c r="D5" s="8">
        <v>17</v>
      </c>
      <c r="E5" s="8">
        <v>18</v>
      </c>
      <c r="F5" s="7"/>
      <c r="G5" s="6" t="s">
        <v>63</v>
      </c>
      <c r="H5" s="8">
        <v>4.125</v>
      </c>
      <c r="I5" s="8">
        <v>4.125</v>
      </c>
      <c r="J5" s="8">
        <v>4.125</v>
      </c>
    </row>
    <row r="6" s="1" customFormat="1" ht="31" customHeight="1" spans="1:10">
      <c r="A6" s="4" t="s">
        <v>64</v>
      </c>
      <c r="B6" s="5" t="s">
        <v>65</v>
      </c>
      <c r="C6" s="8">
        <v>15.5</v>
      </c>
      <c r="D6" s="8">
        <v>16.5</v>
      </c>
      <c r="E6" s="8">
        <v>17.5</v>
      </c>
      <c r="F6" s="7"/>
      <c r="G6" s="6" t="s">
        <v>66</v>
      </c>
      <c r="H6" s="8">
        <v>16</v>
      </c>
      <c r="I6" s="8">
        <v>17</v>
      </c>
      <c r="J6" s="8">
        <v>18</v>
      </c>
    </row>
    <row r="7" s="1" customFormat="1" ht="31" customHeight="1" spans="1:10">
      <c r="A7" s="4" t="s">
        <v>67</v>
      </c>
      <c r="B7" s="5" t="s">
        <v>68</v>
      </c>
      <c r="C7" s="8">
        <v>13.25</v>
      </c>
      <c r="D7" s="8">
        <v>14.25</v>
      </c>
      <c r="E7" s="8">
        <v>15.25</v>
      </c>
      <c r="F7" s="7"/>
      <c r="G7" s="9" t="s">
        <v>69</v>
      </c>
      <c r="H7" s="8">
        <v>9.5</v>
      </c>
      <c r="I7" s="8">
        <v>10</v>
      </c>
      <c r="J7" s="8">
        <v>10.5</v>
      </c>
    </row>
    <row r="8" s="1" customFormat="1" ht="31" customHeight="1" spans="1:10">
      <c r="A8" s="4" t="s">
        <v>70</v>
      </c>
      <c r="B8" s="5" t="s">
        <v>71</v>
      </c>
      <c r="C8" s="8">
        <v>24.5</v>
      </c>
      <c r="D8" s="8">
        <v>25.5</v>
      </c>
      <c r="E8" s="8">
        <v>26.5</v>
      </c>
      <c r="F8" s="7"/>
      <c r="G8" s="9" t="s">
        <v>72</v>
      </c>
      <c r="H8" s="8">
        <v>14.5</v>
      </c>
      <c r="I8" s="8">
        <v>15</v>
      </c>
      <c r="J8" s="8">
        <v>15.5</v>
      </c>
    </row>
    <row r="9" s="1" customFormat="1" ht="31" customHeight="1" spans="1:10">
      <c r="A9" s="4" t="s">
        <v>73</v>
      </c>
      <c r="B9" s="6" t="s">
        <v>74</v>
      </c>
      <c r="C9" s="8">
        <v>5.25</v>
      </c>
      <c r="D9" s="8">
        <v>5.75</v>
      </c>
      <c r="E9" s="8">
        <v>6.25</v>
      </c>
      <c r="F9" s="7"/>
      <c r="G9" s="6" t="s">
        <v>75</v>
      </c>
      <c r="H9" s="8">
        <v>27.5</v>
      </c>
      <c r="I9" s="8">
        <v>27.5</v>
      </c>
      <c r="J9" s="8">
        <v>27.5</v>
      </c>
    </row>
    <row r="10" s="1" customFormat="1" ht="31" customHeight="1" spans="1:10">
      <c r="A10" s="4" t="s">
        <v>76</v>
      </c>
      <c r="B10" s="6" t="s">
        <v>77</v>
      </c>
      <c r="C10" s="8">
        <v>3</v>
      </c>
      <c r="D10" s="8">
        <v>3.25</v>
      </c>
      <c r="E10" s="10">
        <v>3.5</v>
      </c>
      <c r="F10" s="7"/>
      <c r="G10" s="6" t="s">
        <v>78</v>
      </c>
      <c r="H10" s="8">
        <v>3.75</v>
      </c>
      <c r="I10" s="8">
        <v>4</v>
      </c>
      <c r="J10" s="10">
        <v>4.25</v>
      </c>
    </row>
    <row r="11" s="1" customFormat="1" ht="31" customHeight="1" spans="1:10">
      <c r="A11" s="4" t="s">
        <v>79</v>
      </c>
      <c r="B11" s="5" t="s">
        <v>80</v>
      </c>
      <c r="C11" s="8">
        <v>7</v>
      </c>
      <c r="D11" s="8">
        <v>7.25</v>
      </c>
      <c r="E11" s="8">
        <v>7.5</v>
      </c>
      <c r="F11" s="7"/>
      <c r="G11" s="6" t="s">
        <v>81</v>
      </c>
      <c r="H11" s="8">
        <v>9.5</v>
      </c>
      <c r="I11" s="8">
        <v>10</v>
      </c>
      <c r="J11" s="8">
        <v>10.5</v>
      </c>
    </row>
    <row r="12" s="1" customFormat="1" ht="31" customHeight="1" spans="1:10">
      <c r="A12" s="4" t="s">
        <v>82</v>
      </c>
      <c r="B12" s="5" t="s">
        <v>83</v>
      </c>
      <c r="C12" s="8">
        <v>2.875</v>
      </c>
      <c r="D12" s="8">
        <v>3</v>
      </c>
      <c r="E12" s="8">
        <v>3.125</v>
      </c>
      <c r="F12" s="7"/>
      <c r="G12" s="9" t="s">
        <v>84</v>
      </c>
      <c r="H12" s="8">
        <v>1.8</v>
      </c>
      <c r="I12" s="8">
        <v>1.8</v>
      </c>
      <c r="J12" s="8">
        <v>1.8</v>
      </c>
    </row>
    <row r="13" s="1" customFormat="1" ht="31" customHeight="1" spans="1:10">
      <c r="A13" s="4" t="s">
        <v>76</v>
      </c>
      <c r="B13" s="9" t="s">
        <v>85</v>
      </c>
      <c r="C13" s="8">
        <v>13.75</v>
      </c>
      <c r="D13" s="8">
        <v>14.75</v>
      </c>
      <c r="E13" s="8">
        <v>15.75</v>
      </c>
      <c r="F13" s="7"/>
      <c r="G13" s="9" t="s">
        <v>86</v>
      </c>
      <c r="H13" s="8">
        <v>2.25</v>
      </c>
      <c r="I13" s="8">
        <v>2.25</v>
      </c>
      <c r="J13" s="8">
        <v>2.25</v>
      </c>
    </row>
    <row r="14" s="1" customFormat="1" ht="31" customHeight="1" spans="1:10">
      <c r="A14" s="4"/>
      <c r="B14" s="11"/>
      <c r="C14" s="12"/>
      <c r="D14" s="12"/>
      <c r="E14" s="12"/>
      <c r="F14" s="7"/>
      <c r="G14" s="6"/>
      <c r="H14" s="12"/>
      <c r="I14" s="12"/>
      <c r="J14" s="12"/>
    </row>
  </sheetData>
  <mergeCells count="6">
    <mergeCell ref="A1:J1"/>
    <mergeCell ref="C2:E2"/>
    <mergeCell ref="H2:J2"/>
    <mergeCell ref="A2:A3"/>
    <mergeCell ref="B2:B3"/>
    <mergeCell ref="G2:G3"/>
  </mergeCells>
  <pageMargins left="0.156944444444444" right="0.118055555555556" top="1" bottom="1" header="0.5" footer="0.5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LU21-SET 上衣</vt:lpstr>
      <vt:lpstr>LU21-SET尺寸表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小汤圆</cp:lastModifiedBy>
  <dcterms:created xsi:type="dcterms:W3CDTF">2024-12-13T07:57:00Z</dcterms:created>
  <dcterms:modified xsi:type="dcterms:W3CDTF">2026-07-16T07:33:56Z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26D4E05E32794C3F982FCD2DB5F6189F_13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